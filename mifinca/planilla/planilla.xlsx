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uglaslino/Desktop/2_ciclo_2022/PP2/proyecto/proyecto_pp/mifinca/mifinca/planilla/"/>
    </mc:Choice>
  </mc:AlternateContent>
  <xr:revisionPtr revIDLastSave="0" documentId="13_ncr:1_{61C911DC-5F3C-C54C-B369-5189F1C116AF}" xr6:coauthVersionLast="47" xr6:coauthVersionMax="47" xr10:uidLastSave="{00000000-0000-0000-0000-000000000000}"/>
  <bookViews>
    <workbookView xWindow="0" yWindow="500" windowWidth="29040" windowHeight="16440" xr2:uid="{00000000-000D-0000-FFFF-FFFF00000000}"/>
  </bookViews>
  <sheets>
    <sheet name="plan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2" i="1"/>
  <c r="D2" i="1"/>
  <c r="D3" i="1" l="1"/>
  <c r="D4" i="1"/>
  <c r="B4" i="1" s="1"/>
  <c r="D5" i="1"/>
  <c r="B5" i="1" s="1"/>
  <c r="D6" i="1"/>
  <c r="B6" i="1" s="1"/>
  <c r="D7" i="1"/>
  <c r="B7" i="1" s="1"/>
  <c r="D8" i="1"/>
  <c r="B8" i="1" s="1"/>
  <c r="D9" i="1"/>
  <c r="B9" i="1" s="1"/>
  <c r="D10" i="1"/>
  <c r="B10" i="1" s="1"/>
  <c r="D11" i="1"/>
  <c r="B11" i="1" s="1"/>
  <c r="D12" i="1"/>
  <c r="B12" i="1" s="1"/>
  <c r="D13" i="1"/>
  <c r="B13" i="1" s="1"/>
  <c r="D14" i="1"/>
  <c r="B14" i="1" s="1"/>
  <c r="D15" i="1"/>
  <c r="B15" i="1" s="1"/>
  <c r="D16" i="1"/>
  <c r="B16" i="1" s="1"/>
  <c r="D17" i="1"/>
  <c r="B17" i="1" s="1"/>
  <c r="D18" i="1"/>
  <c r="B18" i="1" s="1"/>
  <c r="D19" i="1"/>
  <c r="B19" i="1" s="1"/>
  <c r="D20" i="1"/>
  <c r="B20" i="1" s="1"/>
  <c r="D21" i="1"/>
  <c r="B21" i="1" s="1"/>
  <c r="D22" i="1"/>
  <c r="B22" i="1" s="1"/>
  <c r="D23" i="1"/>
  <c r="B23" i="1" s="1"/>
  <c r="D24" i="1"/>
  <c r="B24" i="1" s="1"/>
  <c r="D25" i="1"/>
  <c r="B25" i="1" s="1"/>
  <c r="D26" i="1"/>
  <c r="B26" i="1" s="1"/>
  <c r="D27" i="1"/>
  <c r="B27" i="1" s="1"/>
  <c r="D28" i="1"/>
  <c r="B28" i="1" s="1"/>
  <c r="D29" i="1"/>
  <c r="B29" i="1" s="1"/>
  <c r="D30" i="1"/>
  <c r="B30" i="1" s="1"/>
  <c r="D31" i="1"/>
  <c r="B31" i="1" s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B32" i="1" l="1"/>
  <c r="D32" i="1"/>
</calcChain>
</file>

<file path=xl/sharedStrings.xml><?xml version="1.0" encoding="utf-8"?>
<sst xmlns="http://schemas.openxmlformats.org/spreadsheetml/2006/main" count="51" uniqueCount="41">
  <si>
    <t>L</t>
  </si>
  <si>
    <t>M</t>
  </si>
  <si>
    <t>J</t>
  </si>
  <si>
    <t>V</t>
  </si>
  <si>
    <t>S</t>
  </si>
  <si>
    <t>D</t>
  </si>
  <si>
    <t xml:space="preserve"> (  @ )</t>
  </si>
  <si>
    <t>TOTAL (@)</t>
  </si>
  <si>
    <t>Total Dolares</t>
  </si>
  <si>
    <t>TOTAL DOLARES</t>
  </si>
  <si>
    <t>Aracely Martinez</t>
  </si>
  <si>
    <t>Miguel Mendez</t>
  </si>
  <si>
    <t>Nombre y Apellido</t>
  </si>
  <si>
    <t>Huellas</t>
  </si>
  <si>
    <t>Celestino Ramos</t>
  </si>
  <si>
    <t>Maria Solis</t>
  </si>
  <si>
    <t>Delfina Mangandi</t>
  </si>
  <si>
    <t>Margarita Solis</t>
  </si>
  <si>
    <t>Fedis Chafolla</t>
  </si>
  <si>
    <t>Benjamin Carranza</t>
  </si>
  <si>
    <t>Marina Perez</t>
  </si>
  <si>
    <t>Teresa Barrera</t>
  </si>
  <si>
    <t>Silvia Menendez</t>
  </si>
  <si>
    <t>Maria Menendez</t>
  </si>
  <si>
    <t>Eduardo Galan</t>
  </si>
  <si>
    <t>Victoria Galicia</t>
  </si>
  <si>
    <t>Cristian Arevalo</t>
  </si>
  <si>
    <t>Mirna Alfaro</t>
  </si>
  <si>
    <t>Misael Duarte</t>
  </si>
  <si>
    <t>Cesar Solis</t>
  </si>
  <si>
    <t>José Martinez</t>
  </si>
  <si>
    <t>Maximo Gomez</t>
  </si>
  <si>
    <t>Brigida Gomez</t>
  </si>
  <si>
    <t>Pablo Ramirez</t>
  </si>
  <si>
    <t>Humberto Murga</t>
  </si>
  <si>
    <t>Benjamin Castillo</t>
  </si>
  <si>
    <t>Victoria Vasquez</t>
  </si>
  <si>
    <t>Manuel Vasquez</t>
  </si>
  <si>
    <t>Maria Vasquez</t>
  </si>
  <si>
    <t>German martinez</t>
  </si>
  <si>
    <t>Veronica Galan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</si>
</sst>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s&quot;_-;\-* #,##0.00\ &quot;Pts&quot;_-;_-* &quot;-&quot;??\ &quot;Pts&quot;_-;_-@_-"/>
  </numFmts>
  <fonts count="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="110" zoomScaleNormal="110" workbookViewId="0">
      <selection activeCell="C12" sqref="C12"/>
    </sheetView>
  </sheetViews>
  <sheetFormatPr baseColWidth="10" defaultColWidth="9.1640625" defaultRowHeight="17.25" customHeight="1" x14ac:dyDescent="0.15"/>
  <cols>
    <col min="1" max="1" width="30.1640625" customWidth="1"/>
    <col min="2" max="2" width="12.33203125" style="10" customWidth="1"/>
    <col min="3" max="3" width="14.1640625" customWidth="1"/>
    <col min="4" max="4" width="10.83203125" style="10" customWidth="1"/>
    <col min="5" max="7" width="6" customWidth="1"/>
    <col min="8" max="8" width="6" style="4" customWidth="1"/>
    <col min="9" max="16" width="6" customWidth="1"/>
    <col min="17" max="19" width="6" style="12" customWidth="1"/>
  </cols>
  <sheetData>
    <row r="1" spans="1:19" s="10" customFormat="1" ht="17.25" customHeight="1" x14ac:dyDescent="0.15">
      <c r="A1" s="6" t="s">
        <v>12</v>
      </c>
      <c r="B1" s="8" t="s">
        <v>8</v>
      </c>
      <c r="C1" s="8" t="s">
        <v>13</v>
      </c>
      <c r="D1" s="8" t="s">
        <v>6</v>
      </c>
      <c r="E1" s="6" t="s">
        <v>0</v>
      </c>
      <c r="F1" s="6" t="s">
        <v>1</v>
      </c>
      <c r="G1" s="6" t="s">
        <v>1</v>
      </c>
      <c r="H1" s="7" t="s">
        <v>2</v>
      </c>
      <c r="I1" s="6" t="s">
        <v>3</v>
      </c>
      <c r="J1" s="6" t="s">
        <v>4</v>
      </c>
      <c r="K1" s="6" t="s">
        <v>5</v>
      </c>
      <c r="L1" s="6" t="s">
        <v>0</v>
      </c>
      <c r="M1" s="6" t="s">
        <v>1</v>
      </c>
      <c r="N1" s="6" t="s">
        <v>1</v>
      </c>
      <c r="O1" s="6" t="s">
        <v>2</v>
      </c>
      <c r="P1" s="6" t="s">
        <v>3</v>
      </c>
      <c r="Q1" s="6" t="s">
        <v>4</v>
      </c>
      <c r="R1" s="6" t="s">
        <v>5</v>
      </c>
      <c r="S1" s="6" t="s">
        <v>0</v>
      </c>
    </row>
    <row r="2" spans="1:19" ht="17.25" customHeight="1" x14ac:dyDescent="0.15">
      <c r="A2" s="11" t="s">
        <v>17</v>
      </c>
      <c r="B2" s="5">
        <f>+D2*0.7</f>
        <v>34.65</v>
      </c>
      <c r="C2" s="2"/>
      <c r="D2" s="6">
        <f>SUM(E2:S2)</f>
        <v>49.5</v>
      </c>
      <c r="E2" s="2"/>
      <c r="F2" s="2"/>
      <c r="G2" s="2"/>
      <c r="H2" s="2">
        <v>7</v>
      </c>
      <c r="I2" s="2">
        <v>6</v>
      </c>
      <c r="J2" s="2">
        <v>5</v>
      </c>
      <c r="K2" s="2">
        <v>8</v>
      </c>
      <c r="L2" s="2">
        <v>4.5</v>
      </c>
      <c r="M2" s="2">
        <v>4</v>
      </c>
      <c r="N2" s="2">
        <v>9</v>
      </c>
      <c r="O2" s="2">
        <v>6</v>
      </c>
      <c r="P2" s="2">
        <v>0</v>
      </c>
      <c r="Q2" s="2"/>
      <c r="R2" s="2"/>
      <c r="S2" s="2"/>
    </row>
    <row r="3" spans="1:19" ht="17.25" customHeight="1" x14ac:dyDescent="0.15">
      <c r="A3" s="11" t="s">
        <v>29</v>
      </c>
      <c r="B3" s="5">
        <f>+D3*0.7</f>
        <v>47.599999999999994</v>
      </c>
      <c r="C3" s="2"/>
      <c r="D3" s="6">
        <f t="shared" ref="D3:D31" si="0">SUM(E3:S3)</f>
        <v>68</v>
      </c>
      <c r="E3" s="2"/>
      <c r="F3" s="2"/>
      <c r="G3" s="2"/>
      <c r="H3" s="2">
        <v>9.5</v>
      </c>
      <c r="I3" s="2">
        <v>9.5</v>
      </c>
      <c r="J3" s="2">
        <v>10</v>
      </c>
      <c r="K3" s="2">
        <v>0</v>
      </c>
      <c r="L3" s="2">
        <v>0</v>
      </c>
      <c r="M3" s="2">
        <v>7</v>
      </c>
      <c r="N3" s="2">
        <v>12</v>
      </c>
      <c r="O3" s="2">
        <v>9</v>
      </c>
      <c r="P3" s="2">
        <v>11</v>
      </c>
      <c r="Q3" s="2"/>
      <c r="R3" s="2"/>
      <c r="S3" s="2"/>
    </row>
    <row r="4" spans="1:19" ht="17.25" customHeight="1" x14ac:dyDescent="0.15">
      <c r="A4" s="11" t="s">
        <v>18</v>
      </c>
      <c r="B4" s="5">
        <f t="shared" ref="B4:B31" si="1">+D4*0.7</f>
        <v>72.449999999999989</v>
      </c>
      <c r="C4" s="2"/>
      <c r="D4" s="6">
        <f t="shared" si="0"/>
        <v>103.5</v>
      </c>
      <c r="E4" s="2"/>
      <c r="F4" s="2"/>
      <c r="G4" s="2"/>
      <c r="H4" s="2">
        <v>12</v>
      </c>
      <c r="I4" s="2">
        <v>12</v>
      </c>
      <c r="J4" s="2">
        <v>13.5</v>
      </c>
      <c r="K4" s="2">
        <v>0</v>
      </c>
      <c r="L4" s="2">
        <v>13</v>
      </c>
      <c r="M4" s="2">
        <v>14</v>
      </c>
      <c r="N4" s="2">
        <v>14</v>
      </c>
      <c r="O4" s="2">
        <v>12</v>
      </c>
      <c r="P4" s="2">
        <v>13</v>
      </c>
      <c r="Q4" s="2"/>
      <c r="R4" s="2"/>
      <c r="S4" s="2"/>
    </row>
    <row r="5" spans="1:19" ht="17.25" customHeight="1" x14ac:dyDescent="0.15">
      <c r="A5" s="11" t="s">
        <v>19</v>
      </c>
      <c r="B5" s="5">
        <f t="shared" si="1"/>
        <v>78.75</v>
      </c>
      <c r="C5" s="2"/>
      <c r="D5" s="6">
        <f t="shared" si="0"/>
        <v>112.5</v>
      </c>
      <c r="E5" s="2"/>
      <c r="F5" s="2"/>
      <c r="G5" s="2"/>
      <c r="H5" s="2">
        <v>10.5</v>
      </c>
      <c r="I5" s="2">
        <v>10.5</v>
      </c>
      <c r="J5" s="2">
        <v>9.5</v>
      </c>
      <c r="K5" s="2">
        <v>0</v>
      </c>
      <c r="L5" s="2">
        <v>10.5</v>
      </c>
      <c r="M5" s="2">
        <v>19</v>
      </c>
      <c r="N5" s="2">
        <v>20</v>
      </c>
      <c r="O5" s="2">
        <v>18</v>
      </c>
      <c r="P5" s="2">
        <v>14.5</v>
      </c>
      <c r="Q5" s="2"/>
      <c r="R5" s="2"/>
      <c r="S5" s="2"/>
    </row>
    <row r="6" spans="1:19" ht="17.25" customHeight="1" x14ac:dyDescent="0.15">
      <c r="A6" s="11" t="s">
        <v>30</v>
      </c>
      <c r="B6" s="5">
        <f t="shared" si="1"/>
        <v>37.449999999999996</v>
      </c>
      <c r="C6" s="2"/>
      <c r="D6" s="6">
        <f t="shared" si="0"/>
        <v>53.5</v>
      </c>
      <c r="E6" s="2"/>
      <c r="F6" s="2"/>
      <c r="G6" s="2"/>
      <c r="H6" s="2">
        <v>10</v>
      </c>
      <c r="I6" s="2">
        <v>10</v>
      </c>
      <c r="J6" s="2">
        <v>0</v>
      </c>
      <c r="K6" s="2">
        <v>0</v>
      </c>
      <c r="L6" s="2">
        <v>6</v>
      </c>
      <c r="M6" s="2">
        <v>7</v>
      </c>
      <c r="N6" s="2">
        <v>8</v>
      </c>
      <c r="O6" s="2">
        <v>9</v>
      </c>
      <c r="P6" s="2">
        <v>3.5</v>
      </c>
      <c r="Q6" s="2"/>
      <c r="R6" s="2"/>
      <c r="S6" s="2"/>
    </row>
    <row r="7" spans="1:19" ht="17.25" customHeight="1" x14ac:dyDescent="0.15">
      <c r="A7" s="11" t="s">
        <v>31</v>
      </c>
      <c r="B7" s="5">
        <f t="shared" si="1"/>
        <v>70</v>
      </c>
      <c r="C7" s="2"/>
      <c r="D7" s="6">
        <f t="shared" si="0"/>
        <v>100</v>
      </c>
      <c r="E7" s="2"/>
      <c r="F7" s="2"/>
      <c r="G7" s="2"/>
      <c r="H7" s="2">
        <v>13</v>
      </c>
      <c r="I7" s="2">
        <v>12</v>
      </c>
      <c r="J7" s="2">
        <v>12</v>
      </c>
      <c r="K7" s="2">
        <v>12.5</v>
      </c>
      <c r="L7" s="2">
        <v>10</v>
      </c>
      <c r="M7" s="2">
        <v>12</v>
      </c>
      <c r="N7" s="2">
        <v>11.5</v>
      </c>
      <c r="O7" s="2">
        <v>10</v>
      </c>
      <c r="P7" s="2">
        <v>7</v>
      </c>
      <c r="Q7" s="2"/>
      <c r="R7" s="2"/>
      <c r="S7" s="2"/>
    </row>
    <row r="8" spans="1:19" ht="17.25" customHeight="1" x14ac:dyDescent="0.15">
      <c r="A8" s="11" t="s">
        <v>32</v>
      </c>
      <c r="B8" s="5">
        <f t="shared" si="1"/>
        <v>55.3</v>
      </c>
      <c r="C8" s="2"/>
      <c r="D8" s="6">
        <f t="shared" si="0"/>
        <v>79</v>
      </c>
      <c r="E8" s="2"/>
      <c r="F8" s="2"/>
      <c r="G8" s="2"/>
      <c r="H8" s="2">
        <v>9</v>
      </c>
      <c r="I8" s="2">
        <v>12</v>
      </c>
      <c r="J8" s="2">
        <v>9.5</v>
      </c>
      <c r="K8" s="2">
        <v>7.5</v>
      </c>
      <c r="L8" s="2">
        <v>7.5</v>
      </c>
      <c r="M8" s="2">
        <v>7.5</v>
      </c>
      <c r="N8" s="2">
        <v>9.5</v>
      </c>
      <c r="O8" s="2">
        <v>9.5</v>
      </c>
      <c r="P8" s="2">
        <v>7</v>
      </c>
      <c r="Q8" s="2"/>
      <c r="R8" s="2"/>
      <c r="S8" s="2"/>
    </row>
    <row r="9" spans="1:19" ht="17.25" customHeight="1" x14ac:dyDescent="0.15">
      <c r="A9" s="11" t="s">
        <v>23</v>
      </c>
      <c r="B9" s="5">
        <f t="shared" si="1"/>
        <v>28</v>
      </c>
      <c r="C9" s="2"/>
      <c r="D9" s="6">
        <f t="shared" si="0"/>
        <v>40</v>
      </c>
      <c r="E9" s="2"/>
      <c r="F9" s="2"/>
      <c r="G9" s="2"/>
      <c r="H9" s="2">
        <v>8.5</v>
      </c>
      <c r="I9" s="2">
        <v>4</v>
      </c>
      <c r="J9" s="2">
        <v>7.5</v>
      </c>
      <c r="K9" s="2">
        <v>4</v>
      </c>
      <c r="L9" s="2">
        <v>4.5</v>
      </c>
      <c r="M9" s="2">
        <v>0</v>
      </c>
      <c r="N9" s="2">
        <v>4.5</v>
      </c>
      <c r="O9" s="2">
        <v>3</v>
      </c>
      <c r="P9" s="2">
        <v>4</v>
      </c>
      <c r="Q9" s="2"/>
      <c r="R9" s="2"/>
      <c r="S9" s="2"/>
    </row>
    <row r="10" spans="1:19" ht="17.25" customHeight="1" x14ac:dyDescent="0.15">
      <c r="A10" s="11" t="s">
        <v>22</v>
      </c>
      <c r="B10" s="5">
        <f t="shared" si="1"/>
        <v>53.9</v>
      </c>
      <c r="C10" s="3"/>
      <c r="D10" s="6">
        <f t="shared" si="0"/>
        <v>77</v>
      </c>
      <c r="E10" s="2"/>
      <c r="F10" s="2"/>
      <c r="G10" s="2"/>
      <c r="H10" s="2">
        <v>8.5</v>
      </c>
      <c r="I10" s="2">
        <v>7</v>
      </c>
      <c r="J10" s="2">
        <v>8.5</v>
      </c>
      <c r="K10" s="2">
        <v>4.5</v>
      </c>
      <c r="L10" s="2">
        <v>5.5</v>
      </c>
      <c r="M10" s="2">
        <v>6.5</v>
      </c>
      <c r="N10" s="2">
        <v>15</v>
      </c>
      <c r="O10" s="2">
        <v>13</v>
      </c>
      <c r="P10" s="2">
        <v>8.5</v>
      </c>
      <c r="Q10" s="2"/>
      <c r="R10" s="2"/>
      <c r="S10" s="2"/>
    </row>
    <row r="11" spans="1:19" ht="17.25" customHeight="1" x14ac:dyDescent="0.15">
      <c r="A11" s="11" t="s">
        <v>33</v>
      </c>
      <c r="B11" s="5">
        <f t="shared" si="1"/>
        <v>49.699999999999996</v>
      </c>
      <c r="C11" s="3"/>
      <c r="D11" s="6">
        <f t="shared" si="0"/>
        <v>71</v>
      </c>
      <c r="E11" s="2"/>
      <c r="F11" s="2"/>
      <c r="G11" s="2"/>
      <c r="H11" s="2">
        <v>7</v>
      </c>
      <c r="I11" s="2">
        <v>6</v>
      </c>
      <c r="J11" s="2">
        <v>7</v>
      </c>
      <c r="K11" s="2">
        <v>5.5</v>
      </c>
      <c r="L11" s="2">
        <v>4</v>
      </c>
      <c r="M11" s="2">
        <v>12</v>
      </c>
      <c r="N11" s="2">
        <v>11.5</v>
      </c>
      <c r="O11" s="2">
        <v>11</v>
      </c>
      <c r="P11" s="2">
        <v>7</v>
      </c>
      <c r="Q11" s="2"/>
      <c r="R11" s="2"/>
      <c r="S11" s="2"/>
    </row>
    <row r="12" spans="1:19" ht="17.25" customHeight="1" x14ac:dyDescent="0.15">
      <c r="A12" s="11" t="s">
        <v>34</v>
      </c>
      <c r="B12" s="5">
        <f t="shared" si="1"/>
        <v>107.44999999999999</v>
      </c>
      <c r="C12" s="3"/>
      <c r="D12" s="6">
        <f t="shared" si="0"/>
        <v>153.5</v>
      </c>
      <c r="E12" s="2"/>
      <c r="F12" s="2"/>
      <c r="G12" s="2"/>
      <c r="H12" s="2">
        <v>17.5</v>
      </c>
      <c r="I12" s="2">
        <v>21.5</v>
      </c>
      <c r="J12" s="2">
        <v>18.5</v>
      </c>
      <c r="K12" s="2">
        <v>18.5</v>
      </c>
      <c r="L12" s="2">
        <v>12</v>
      </c>
      <c r="M12" s="2">
        <v>19</v>
      </c>
      <c r="N12" s="2">
        <v>17</v>
      </c>
      <c r="O12" s="2">
        <v>15</v>
      </c>
      <c r="P12" s="2">
        <v>14.5</v>
      </c>
      <c r="Q12" s="2"/>
      <c r="R12" s="2"/>
      <c r="S12" s="2"/>
    </row>
    <row r="13" spans="1:19" ht="17.25" customHeight="1" x14ac:dyDescent="0.15">
      <c r="A13" s="11" t="s">
        <v>21</v>
      </c>
      <c r="B13" s="5">
        <f t="shared" si="1"/>
        <v>24.849999999999998</v>
      </c>
      <c r="C13" s="3"/>
      <c r="D13" s="6">
        <f t="shared" si="0"/>
        <v>35.5</v>
      </c>
      <c r="E13" s="2"/>
      <c r="F13" s="2"/>
      <c r="G13" s="2"/>
      <c r="H13" s="2">
        <v>11.5</v>
      </c>
      <c r="I13" s="2">
        <v>13</v>
      </c>
      <c r="J13" s="2">
        <v>11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  <c r="S13" s="2"/>
    </row>
    <row r="14" spans="1:19" ht="17.25" customHeight="1" x14ac:dyDescent="0.15">
      <c r="A14" s="11" t="s">
        <v>21</v>
      </c>
      <c r="B14" s="5">
        <f t="shared" si="1"/>
        <v>22.049999999999997</v>
      </c>
      <c r="C14" s="2"/>
      <c r="D14" s="6">
        <f t="shared" si="0"/>
        <v>31.5</v>
      </c>
      <c r="E14" s="2"/>
      <c r="F14" s="2"/>
      <c r="G14" s="2"/>
      <c r="H14" s="2">
        <v>12</v>
      </c>
      <c r="I14" s="2">
        <v>10</v>
      </c>
      <c r="J14" s="2">
        <v>9.5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  <c r="S14" s="2"/>
    </row>
    <row r="15" spans="1:19" ht="17.25" customHeight="1" x14ac:dyDescent="0.15">
      <c r="A15" s="11" t="s">
        <v>35</v>
      </c>
      <c r="B15" s="5">
        <f t="shared" si="1"/>
        <v>47.599999999999994</v>
      </c>
      <c r="C15" s="2"/>
      <c r="D15" s="6">
        <f t="shared" si="0"/>
        <v>68</v>
      </c>
      <c r="E15" s="2"/>
      <c r="F15" s="2"/>
      <c r="G15" s="2"/>
      <c r="H15" s="2">
        <v>8.5</v>
      </c>
      <c r="I15" s="2">
        <v>9.5</v>
      </c>
      <c r="J15" s="2">
        <v>8.5</v>
      </c>
      <c r="K15" s="2">
        <v>6</v>
      </c>
      <c r="L15" s="2">
        <v>5.5</v>
      </c>
      <c r="M15" s="2">
        <v>7.5</v>
      </c>
      <c r="N15" s="2">
        <v>8</v>
      </c>
      <c r="O15" s="2">
        <v>7.5</v>
      </c>
      <c r="P15" s="2">
        <v>7</v>
      </c>
      <c r="Q15" s="2"/>
      <c r="R15" s="2"/>
      <c r="S15" s="2"/>
    </row>
    <row r="16" spans="1:19" ht="17.25" customHeight="1" x14ac:dyDescent="0.15">
      <c r="A16" s="11" t="s">
        <v>25</v>
      </c>
      <c r="B16" s="5">
        <f t="shared" si="1"/>
        <v>45.5</v>
      </c>
      <c r="C16" s="2"/>
      <c r="D16" s="6">
        <f t="shared" si="0"/>
        <v>65</v>
      </c>
      <c r="E16" s="2"/>
      <c r="F16" s="2"/>
      <c r="G16" s="2"/>
      <c r="H16" s="2">
        <v>9.5</v>
      </c>
      <c r="I16" s="2">
        <v>11.5</v>
      </c>
      <c r="J16" s="2">
        <v>7.5</v>
      </c>
      <c r="K16" s="2">
        <v>7.5</v>
      </c>
      <c r="L16" s="2">
        <v>6</v>
      </c>
      <c r="M16" s="2">
        <v>5.5</v>
      </c>
      <c r="N16" s="2">
        <v>7.5</v>
      </c>
      <c r="O16" s="2">
        <v>7</v>
      </c>
      <c r="P16" s="2">
        <v>3</v>
      </c>
      <c r="Q16" s="2"/>
      <c r="R16" s="2"/>
      <c r="S16" s="2"/>
    </row>
    <row r="17" spans="1:19" ht="17.25" customHeight="1" x14ac:dyDescent="0.15">
      <c r="A17" s="11" t="s">
        <v>10</v>
      </c>
      <c r="B17" s="5">
        <f t="shared" si="1"/>
        <v>94.149999999999991</v>
      </c>
      <c r="C17" s="6"/>
      <c r="D17" s="6">
        <f t="shared" si="0"/>
        <v>134.5</v>
      </c>
      <c r="E17" s="2"/>
      <c r="F17" s="2"/>
      <c r="G17" s="2"/>
      <c r="H17" s="2">
        <v>12</v>
      </c>
      <c r="I17" s="2">
        <v>21.5</v>
      </c>
      <c r="J17" s="2">
        <v>16</v>
      </c>
      <c r="K17" s="2">
        <v>18</v>
      </c>
      <c r="L17" s="2">
        <v>12</v>
      </c>
      <c r="M17" s="2">
        <v>16.5</v>
      </c>
      <c r="N17" s="2">
        <v>17</v>
      </c>
      <c r="O17" s="2">
        <v>17</v>
      </c>
      <c r="P17" s="2">
        <v>4.5</v>
      </c>
      <c r="Q17" s="2"/>
      <c r="R17" s="2"/>
      <c r="S17" s="2"/>
    </row>
    <row r="18" spans="1:19" ht="17.25" customHeight="1" x14ac:dyDescent="0.15">
      <c r="A18" s="11" t="s">
        <v>27</v>
      </c>
      <c r="B18" s="5">
        <f t="shared" si="1"/>
        <v>34.65</v>
      </c>
      <c r="C18" s="2"/>
      <c r="D18" s="6">
        <f t="shared" si="0"/>
        <v>49.5</v>
      </c>
      <c r="E18" s="2"/>
      <c r="F18" s="2"/>
      <c r="G18" s="2"/>
      <c r="H18" s="2">
        <v>7</v>
      </c>
      <c r="I18" s="2">
        <v>9</v>
      </c>
      <c r="J18" s="2">
        <v>9</v>
      </c>
      <c r="K18" s="2">
        <v>0</v>
      </c>
      <c r="L18" s="2">
        <v>0</v>
      </c>
      <c r="M18" s="2">
        <v>7.5</v>
      </c>
      <c r="N18" s="2">
        <v>5.5</v>
      </c>
      <c r="O18" s="2">
        <v>4</v>
      </c>
      <c r="P18" s="2">
        <v>7.5</v>
      </c>
      <c r="Q18" s="2"/>
      <c r="R18" s="2"/>
      <c r="S18" s="2"/>
    </row>
    <row r="19" spans="1:19" ht="17.25" customHeight="1" x14ac:dyDescent="0.15">
      <c r="A19" s="11" t="s">
        <v>28</v>
      </c>
      <c r="B19" s="5">
        <f t="shared" si="1"/>
        <v>33.949999999999996</v>
      </c>
      <c r="C19" s="2"/>
      <c r="D19" s="6">
        <f t="shared" si="0"/>
        <v>48.5</v>
      </c>
      <c r="E19" s="2"/>
      <c r="F19" s="2"/>
      <c r="G19" s="2"/>
      <c r="H19" s="2">
        <v>3</v>
      </c>
      <c r="I19" s="2">
        <v>5</v>
      </c>
      <c r="J19" s="2">
        <v>5</v>
      </c>
      <c r="K19" s="2">
        <v>0</v>
      </c>
      <c r="L19" s="2">
        <v>0</v>
      </c>
      <c r="M19" s="2">
        <v>13</v>
      </c>
      <c r="N19" s="2">
        <v>7.5</v>
      </c>
      <c r="O19" s="2">
        <v>4.5</v>
      </c>
      <c r="P19" s="2">
        <v>10.5</v>
      </c>
      <c r="Q19" s="2"/>
      <c r="R19" s="2"/>
      <c r="S19" s="2"/>
    </row>
    <row r="20" spans="1:19" ht="17.25" customHeight="1" x14ac:dyDescent="0.15">
      <c r="A20" s="11" t="s">
        <v>36</v>
      </c>
      <c r="B20" s="5">
        <f t="shared" si="1"/>
        <v>47.949999999999996</v>
      </c>
      <c r="C20" s="2"/>
      <c r="D20" s="6">
        <f t="shared" si="0"/>
        <v>68.5</v>
      </c>
      <c r="E20" s="2"/>
      <c r="F20" s="2"/>
      <c r="G20" s="2"/>
      <c r="H20" s="2">
        <v>8</v>
      </c>
      <c r="I20" s="2">
        <v>9.5</v>
      </c>
      <c r="J20" s="2">
        <v>13</v>
      </c>
      <c r="K20" s="2">
        <v>7</v>
      </c>
      <c r="L20" s="2">
        <v>3</v>
      </c>
      <c r="M20" s="2">
        <v>10</v>
      </c>
      <c r="N20" s="2">
        <v>8.5</v>
      </c>
      <c r="O20" s="2">
        <v>6.5</v>
      </c>
      <c r="P20" s="2">
        <v>3</v>
      </c>
      <c r="Q20" s="2"/>
      <c r="R20" s="2"/>
      <c r="S20" s="2"/>
    </row>
    <row r="21" spans="1:19" ht="17.25" customHeight="1" x14ac:dyDescent="0.15">
      <c r="A21" s="11" t="s">
        <v>37</v>
      </c>
      <c r="B21" s="5">
        <f t="shared" si="1"/>
        <v>74.199999999999989</v>
      </c>
      <c r="C21" s="2"/>
      <c r="D21" s="6">
        <f t="shared" si="0"/>
        <v>106</v>
      </c>
      <c r="E21" s="2"/>
      <c r="F21" s="2"/>
      <c r="G21" s="2"/>
      <c r="H21" s="2">
        <v>10.5</v>
      </c>
      <c r="I21" s="2">
        <v>9</v>
      </c>
      <c r="J21" s="2">
        <v>30</v>
      </c>
      <c r="K21" s="2">
        <v>8</v>
      </c>
      <c r="L21" s="2">
        <v>3.5</v>
      </c>
      <c r="M21" s="2">
        <v>13</v>
      </c>
      <c r="N21" s="2">
        <v>9</v>
      </c>
      <c r="O21" s="2">
        <v>18</v>
      </c>
      <c r="P21" s="2">
        <v>5</v>
      </c>
      <c r="Q21" s="2"/>
      <c r="R21" s="2"/>
      <c r="S21" s="2"/>
    </row>
    <row r="22" spans="1:19" ht="17.25" customHeight="1" x14ac:dyDescent="0.15">
      <c r="A22" s="11" t="s">
        <v>38</v>
      </c>
      <c r="B22" s="5">
        <f t="shared" si="1"/>
        <v>35.699999999999996</v>
      </c>
      <c r="C22" s="2"/>
      <c r="D22" s="6">
        <f t="shared" si="0"/>
        <v>51</v>
      </c>
      <c r="E22" s="2"/>
      <c r="F22" s="2"/>
      <c r="G22" s="2"/>
      <c r="H22" s="2">
        <v>7.5</v>
      </c>
      <c r="I22" s="2">
        <v>4.5</v>
      </c>
      <c r="J22" s="2">
        <v>12</v>
      </c>
      <c r="K22" s="2">
        <v>3</v>
      </c>
      <c r="L22" s="2">
        <v>3.5</v>
      </c>
      <c r="M22" s="2">
        <v>7</v>
      </c>
      <c r="N22" s="2">
        <v>5.5</v>
      </c>
      <c r="O22" s="2">
        <v>5</v>
      </c>
      <c r="P22" s="2">
        <v>3</v>
      </c>
      <c r="Q22" s="2"/>
      <c r="R22" s="2"/>
      <c r="S22" s="2"/>
    </row>
    <row r="23" spans="1:19" ht="17.25" customHeight="1" x14ac:dyDescent="0.15">
      <c r="A23" s="11" t="s">
        <v>20</v>
      </c>
      <c r="B23" s="5">
        <f t="shared" si="1"/>
        <v>41.3</v>
      </c>
      <c r="C23" s="2"/>
      <c r="D23" s="6">
        <f t="shared" si="0"/>
        <v>59</v>
      </c>
      <c r="E23" s="2"/>
      <c r="F23" s="2"/>
      <c r="G23" s="2"/>
      <c r="H23" s="2">
        <v>5.5</v>
      </c>
      <c r="I23" s="2">
        <v>5</v>
      </c>
      <c r="J23" s="2">
        <v>7</v>
      </c>
      <c r="K23" s="2">
        <v>5.5</v>
      </c>
      <c r="L23" s="2">
        <v>6.5</v>
      </c>
      <c r="M23" s="2">
        <v>8</v>
      </c>
      <c r="N23" s="2">
        <v>8.5</v>
      </c>
      <c r="O23" s="2">
        <v>7</v>
      </c>
      <c r="P23" s="2">
        <v>6</v>
      </c>
      <c r="Q23" s="2"/>
      <c r="R23" s="2"/>
      <c r="S23" s="2"/>
    </row>
    <row r="24" spans="1:19" ht="17.25" customHeight="1" x14ac:dyDescent="0.15">
      <c r="A24" s="11" t="s">
        <v>39</v>
      </c>
      <c r="B24" s="5">
        <f t="shared" si="1"/>
        <v>44.449999999999996</v>
      </c>
      <c r="C24" s="2"/>
      <c r="D24" s="6">
        <f t="shared" si="0"/>
        <v>63.5</v>
      </c>
      <c r="E24" s="2"/>
      <c r="F24" s="2"/>
      <c r="G24" s="2"/>
      <c r="H24" s="2">
        <v>9</v>
      </c>
      <c r="I24" s="2">
        <v>9</v>
      </c>
      <c r="J24" s="2">
        <v>7</v>
      </c>
      <c r="K24" s="2">
        <v>5.5</v>
      </c>
      <c r="L24" s="2">
        <v>7</v>
      </c>
      <c r="M24" s="2">
        <v>10</v>
      </c>
      <c r="N24" s="2">
        <v>7</v>
      </c>
      <c r="O24" s="2">
        <v>5</v>
      </c>
      <c r="P24" s="2">
        <v>4</v>
      </c>
      <c r="Q24" s="2"/>
      <c r="R24" s="2"/>
      <c r="S24" s="2"/>
    </row>
    <row r="25" spans="1:19" ht="17.25" customHeight="1" x14ac:dyDescent="0.15">
      <c r="A25" s="11" t="s">
        <v>11</v>
      </c>
      <c r="B25" s="5">
        <f t="shared" si="1"/>
        <v>76.3</v>
      </c>
      <c r="C25" s="2"/>
      <c r="D25" s="6">
        <f t="shared" si="0"/>
        <v>109</v>
      </c>
      <c r="E25" s="2"/>
      <c r="F25" s="2"/>
      <c r="G25" s="2"/>
      <c r="H25" s="2">
        <v>10</v>
      </c>
      <c r="I25" s="2">
        <v>13</v>
      </c>
      <c r="J25" s="2">
        <v>10.5</v>
      </c>
      <c r="K25" s="2">
        <v>14</v>
      </c>
      <c r="L25" s="2">
        <v>9</v>
      </c>
      <c r="M25" s="2">
        <v>8.5</v>
      </c>
      <c r="N25" s="2">
        <v>14</v>
      </c>
      <c r="O25" s="2">
        <v>19</v>
      </c>
      <c r="P25" s="2">
        <v>11</v>
      </c>
      <c r="Q25" s="2"/>
      <c r="R25" s="2"/>
      <c r="S25" s="2"/>
    </row>
    <row r="26" spans="1:19" ht="17.25" customHeight="1" x14ac:dyDescent="0.15">
      <c r="A26" s="11" t="s">
        <v>26</v>
      </c>
      <c r="B26" s="5">
        <f t="shared" si="1"/>
        <v>35</v>
      </c>
      <c r="C26" s="2"/>
      <c r="D26" s="6">
        <f t="shared" si="0"/>
        <v>50</v>
      </c>
      <c r="E26" s="2"/>
      <c r="F26" s="2"/>
      <c r="G26" s="2"/>
      <c r="H26" s="2">
        <v>2</v>
      </c>
      <c r="I26" s="2">
        <v>9</v>
      </c>
      <c r="J26" s="2">
        <v>7.5</v>
      </c>
      <c r="K26" s="2">
        <v>8.5</v>
      </c>
      <c r="L26" s="2">
        <v>2.5</v>
      </c>
      <c r="M26" s="2">
        <v>10</v>
      </c>
      <c r="N26" s="2">
        <v>3</v>
      </c>
      <c r="O26" s="2">
        <v>7.5</v>
      </c>
      <c r="P26" s="2">
        <v>0</v>
      </c>
      <c r="Q26" s="2"/>
      <c r="R26" s="2"/>
      <c r="S26" s="2"/>
    </row>
    <row r="27" spans="1:19" ht="17.25" customHeight="1" x14ac:dyDescent="0.15">
      <c r="A27" s="11" t="s">
        <v>24</v>
      </c>
      <c r="B27" s="5">
        <f t="shared" si="1"/>
        <v>42.699999999999996</v>
      </c>
      <c r="C27" s="2"/>
      <c r="D27" s="6">
        <f t="shared" si="0"/>
        <v>61</v>
      </c>
      <c r="E27" s="2"/>
      <c r="F27" s="2"/>
      <c r="G27" s="2"/>
      <c r="H27" s="2">
        <v>8</v>
      </c>
      <c r="I27" s="2">
        <v>5</v>
      </c>
      <c r="J27" s="2">
        <v>7</v>
      </c>
      <c r="K27" s="2">
        <v>10</v>
      </c>
      <c r="L27" s="2">
        <v>4</v>
      </c>
      <c r="M27" s="2">
        <v>7</v>
      </c>
      <c r="N27" s="2">
        <v>7</v>
      </c>
      <c r="O27" s="2">
        <v>7</v>
      </c>
      <c r="P27" s="2">
        <v>6</v>
      </c>
      <c r="Q27" s="2"/>
      <c r="R27" s="2"/>
      <c r="S27" s="2"/>
    </row>
    <row r="28" spans="1:19" ht="17.25" customHeight="1" x14ac:dyDescent="0.15">
      <c r="A28" s="11" t="s">
        <v>40</v>
      </c>
      <c r="B28" s="5">
        <f t="shared" si="1"/>
        <v>36.75</v>
      </c>
      <c r="C28" s="2"/>
      <c r="D28" s="6">
        <f t="shared" si="0"/>
        <v>52.5</v>
      </c>
      <c r="E28" s="2"/>
      <c r="F28" s="2"/>
      <c r="G28" s="2"/>
      <c r="H28" s="2">
        <v>7.5</v>
      </c>
      <c r="I28" s="2">
        <v>3</v>
      </c>
      <c r="J28" s="2">
        <v>6.5</v>
      </c>
      <c r="K28" s="2">
        <v>7</v>
      </c>
      <c r="L28" s="2">
        <v>4</v>
      </c>
      <c r="M28" s="2">
        <v>6</v>
      </c>
      <c r="N28" s="2">
        <v>6</v>
      </c>
      <c r="O28" s="2">
        <v>6.5</v>
      </c>
      <c r="P28" s="2">
        <v>6</v>
      </c>
      <c r="Q28" s="2"/>
      <c r="R28" s="2"/>
      <c r="S28" s="2"/>
    </row>
    <row r="29" spans="1:19" ht="17.25" customHeight="1" x14ac:dyDescent="0.15">
      <c r="A29" s="11" t="s">
        <v>14</v>
      </c>
      <c r="B29" s="5">
        <f t="shared" si="1"/>
        <v>43.75</v>
      </c>
      <c r="C29" s="2"/>
      <c r="D29" s="6">
        <f t="shared" si="0"/>
        <v>62.5</v>
      </c>
      <c r="E29" s="2"/>
      <c r="F29" s="2"/>
      <c r="G29" s="2"/>
      <c r="H29" s="2">
        <v>9</v>
      </c>
      <c r="I29" s="2">
        <v>9</v>
      </c>
      <c r="J29" s="2">
        <v>9</v>
      </c>
      <c r="K29" s="2">
        <v>7</v>
      </c>
      <c r="L29" s="2">
        <v>4</v>
      </c>
      <c r="M29" s="2">
        <v>6</v>
      </c>
      <c r="N29" s="2">
        <v>4.5</v>
      </c>
      <c r="O29" s="2">
        <v>8</v>
      </c>
      <c r="P29" s="2">
        <v>6</v>
      </c>
      <c r="Q29" s="2"/>
      <c r="R29" s="2"/>
      <c r="S29" s="2"/>
    </row>
    <row r="30" spans="1:19" ht="17.25" customHeight="1" x14ac:dyDescent="0.15">
      <c r="A30" s="11" t="s">
        <v>16</v>
      </c>
      <c r="B30" s="5">
        <f t="shared" si="1"/>
        <v>26.599999999999998</v>
      </c>
      <c r="C30" s="2"/>
      <c r="D30" s="6">
        <f t="shared" si="0"/>
        <v>38</v>
      </c>
      <c r="E30" s="2"/>
      <c r="F30" s="2"/>
      <c r="G30" s="2"/>
      <c r="H30" s="2">
        <v>4.5</v>
      </c>
      <c r="I30" s="2">
        <v>4.5</v>
      </c>
      <c r="J30" s="2">
        <v>4.5</v>
      </c>
      <c r="K30" s="2">
        <v>3</v>
      </c>
      <c r="L30" s="2">
        <v>5.5</v>
      </c>
      <c r="M30" s="2">
        <v>4</v>
      </c>
      <c r="N30" s="2">
        <v>4</v>
      </c>
      <c r="O30" s="2">
        <v>3</v>
      </c>
      <c r="P30" s="2">
        <v>5</v>
      </c>
      <c r="Q30" s="2"/>
      <c r="R30" s="2"/>
      <c r="S30" s="2"/>
    </row>
    <row r="31" spans="1:19" ht="17.25" customHeight="1" x14ac:dyDescent="0.15">
      <c r="A31" s="11" t="s">
        <v>15</v>
      </c>
      <c r="B31" s="5">
        <f t="shared" si="1"/>
        <v>27.299999999999997</v>
      </c>
      <c r="C31" s="1"/>
      <c r="D31" s="6">
        <f t="shared" si="0"/>
        <v>39</v>
      </c>
      <c r="E31" s="2"/>
      <c r="F31" s="2"/>
      <c r="G31" s="2"/>
      <c r="H31" s="2">
        <v>4</v>
      </c>
      <c r="I31" s="2">
        <v>5</v>
      </c>
      <c r="J31" s="2">
        <v>5.5</v>
      </c>
      <c r="K31" s="2">
        <v>4</v>
      </c>
      <c r="L31" s="2">
        <v>2.5</v>
      </c>
      <c r="M31" s="2">
        <v>6.5</v>
      </c>
      <c r="N31" s="2">
        <v>8</v>
      </c>
      <c r="O31" s="2">
        <v>2</v>
      </c>
      <c r="P31" s="2">
        <v>1.5</v>
      </c>
      <c r="Q31" s="2"/>
      <c r="R31" s="2"/>
      <c r="S31" s="2"/>
    </row>
    <row r="32" spans="1:19" s="10" customFormat="1" ht="17.25" customHeight="1" x14ac:dyDescent="0.15">
      <c r="A32" s="9" t="s">
        <v>9</v>
      </c>
      <c r="B32" s="5">
        <f>SUM(B2:B31)</f>
        <v>1470</v>
      </c>
      <c r="C32" s="9" t="s">
        <v>7</v>
      </c>
      <c r="D32" s="6">
        <f>SUM(D2:D31)</f>
        <v>2100</v>
      </c>
      <c r="E32" s="6">
        <f>SUM(E2:E31)</f>
        <v>0</v>
      </c>
      <c r="F32" s="6">
        <f t="shared" ref="F32:P32" si="2">SUM(F2:F31)</f>
        <v>0</v>
      </c>
      <c r="G32" s="6">
        <f t="shared" si="2"/>
        <v>0</v>
      </c>
      <c r="H32" s="6">
        <f t="shared" si="2"/>
        <v>261.5</v>
      </c>
      <c r="I32" s="6">
        <f t="shared" si="2"/>
        <v>275.5</v>
      </c>
      <c r="J32" s="6">
        <f t="shared" si="2"/>
        <v>287</v>
      </c>
      <c r="K32" s="6">
        <f t="shared" si="2"/>
        <v>174.5</v>
      </c>
      <c r="L32" s="6">
        <f t="shared" si="2"/>
        <v>156</v>
      </c>
      <c r="M32" s="6">
        <f t="shared" si="2"/>
        <v>254</v>
      </c>
      <c r="N32" s="6">
        <f t="shared" si="2"/>
        <v>262.5</v>
      </c>
      <c r="O32" s="6">
        <f t="shared" si="2"/>
        <v>250</v>
      </c>
      <c r="P32" s="6">
        <f t="shared" si="2"/>
        <v>179</v>
      </c>
      <c r="Q32" s="6">
        <f>SUM(Q2:Q31)</f>
        <v>0</v>
      </c>
      <c r="R32" s="6">
        <f>SUM(R2:R31)</f>
        <v>0</v>
      </c>
      <c r="S32" s="6">
        <f>SUM(S2:S31)</f>
        <v>0</v>
      </c>
    </row>
  </sheetData>
  <phoneticPr fontId="0" type="noConversion"/>
  <printOptions horizontalCentered="1"/>
  <pageMargins left="0.75" right="0.55118110236220474" top="1" bottom="1" header="0" footer="0"/>
  <pageSetup paperSize="5" orientation="landscape" horizontalDpi="360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>Me&amp;Ta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Microsoft Office User</cp:lastModifiedBy>
  <cp:lastPrinted>2003-01-11T01:53:16Z</cp:lastPrinted>
  <dcterms:created xsi:type="dcterms:W3CDTF">1996-11-27T10:00:04Z</dcterms:created>
  <dcterms:modified xsi:type="dcterms:W3CDTF">2022-11-16T23:50:36Z</dcterms:modified>
</cp:coreProperties>
</file>